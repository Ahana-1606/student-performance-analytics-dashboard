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710" activeTab="1"/>
  </bookViews>
  <sheets>
    <sheet name="Student_Data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<sst xmlns="http://schemas.openxmlformats.org/spreadsheetml/2006/main" count="58" uniqueCount="45">
  <si>
    <t>Roll No</t>
  </si>
  <si>
    <t>Name</t>
  </si>
  <si>
    <t>Attendance %</t>
  </si>
  <si>
    <t>Maths</t>
  </si>
  <si>
    <t>Physics</t>
  </si>
  <si>
    <t>Chemistry</t>
  </si>
  <si>
    <t>Total Marks</t>
  </si>
  <si>
    <t>Percentage</t>
  </si>
  <si>
    <t>Grade</t>
  </si>
  <si>
    <t>Ahana</t>
  </si>
  <si>
    <t>Debargha</t>
  </si>
  <si>
    <t>Sagnik</t>
  </si>
  <si>
    <t>Manyata</t>
  </si>
  <si>
    <t>Sourabh</t>
  </si>
  <si>
    <t>Pratik</t>
  </si>
  <si>
    <t>Piyush</t>
  </si>
  <si>
    <t>Aritri</t>
  </si>
  <si>
    <t>Abhijit</t>
  </si>
  <si>
    <t>Satwik</t>
  </si>
  <si>
    <t>Shivani</t>
  </si>
  <si>
    <t>Prishni</t>
  </si>
  <si>
    <t>Samriddha</t>
  </si>
  <si>
    <t>Sohan</t>
  </si>
  <si>
    <t>Sailee</t>
  </si>
  <si>
    <t>Prisha</t>
  </si>
  <si>
    <t>Trishita</t>
  </si>
  <si>
    <t>Sohom</t>
  </si>
  <si>
    <t>Dhrupad</t>
  </si>
  <si>
    <t>Ankit</t>
  </si>
  <si>
    <t>STUDENT PERFORMANCE ANALYTICS DASHBOARD</t>
  </si>
  <si>
    <t>TOTAL STUDENTS</t>
  </si>
  <si>
    <t>AVERAGE %</t>
  </si>
  <si>
    <t>HIGHEST %</t>
  </si>
  <si>
    <t>AVG ATTENDANCE</t>
  </si>
  <si>
    <t>Subject</t>
  </si>
  <si>
    <t>Average</t>
  </si>
  <si>
    <t>Topper Name</t>
  </si>
  <si>
    <t>A,B,C = Pass</t>
  </si>
  <si>
    <t>D = Fail</t>
  </si>
  <si>
    <t>Pass Percentage</t>
  </si>
  <si>
    <t>Count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</si>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</sst>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0"/>
      <color rgb="FF000000"/>
      <name val="Arial"/>
      <charset val="134"/>
      <scheme val="minor"/>
    </font>
    <font>
      <b/>
      <sz val="11"/>
      <color theme="1"/>
      <name val="Arial"/>
      <charset val="134"/>
      <scheme val="minor"/>
    </font>
    <font>
      <b/>
      <sz val="16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sz val="11"/>
      <color rgb="FF1F1F1F"/>
      <name val="&quot;Google Sans Mono&quot;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theme="5" tint="0.6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7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22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1" fillId="3" borderId="1" xfId="0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10" fontId="5" fillId="4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3" fillId="5" borderId="2" xfId="0" applyFont="1" applyFill="1" applyBorder="1" applyAlignment="1"/>
    <xf numFmtId="0" fontId="3" fillId="0" borderId="2" xfId="0" applyFont="1" applyBorder="1" applyAlignment="1">
      <alignment vertical="center"/>
    </xf>
    <xf numFmtId="0" fontId="3" fillId="5" borderId="2" xfId="0" applyFont="1" applyFill="1" applyBorder="1"/>
    <xf numFmtId="0" fontId="3" fillId="4" borderId="2" xfId="0" applyFont="1" applyFill="1" applyBorder="1" applyAlignment="1"/>
    <xf numFmtId="0" fontId="4" fillId="6" borderId="2" xfId="0" applyFont="1" applyFill="1" applyBorder="1" applyAlignment="1"/>
    <xf numFmtId="10" fontId="4" fillId="6" borderId="2" xfId="0" applyNumberFormat="1" applyFont="1" applyFill="1" applyBorder="1"/>
    <xf numFmtId="0" fontId="3" fillId="0" borderId="2" xfId="0" applyFont="1" applyBorder="1" applyAlignment="1"/>
    <xf numFmtId="0" fontId="3" fillId="0" borderId="2" xfId="0" applyFont="1" applyBorder="1"/>
    <xf numFmtId="0" fontId="1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Dashboard-style" pivot="0" count="4" xr9:uid="{F71E1420-852B-4F6B-8E76-05948B190DC1}">
      <tableStyleElement type="wholeTable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vs Subject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bar"/>
        <c:grouping val="none"/>
        <c:varyColors val="0"/>
        <c:ser>
          <c:idx val="0"/>
          <c:order val="0"/>
          <c:tx>
            <c:strRef>
              <c:f>Dashboard!$B$8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Dashboard!$A$9:$A$11</c:f>
              <c:strCache>
                <c:ptCount val="3"/>
                <c:pt idx="0">
                  <c:v>Maths</c:v>
                </c:pt>
                <c:pt idx="1">
                  <c:v>Physics</c:v>
                </c:pt>
                <c:pt idx="2">
                  <c:v>Chemistry</c:v>
                </c:pt>
              </c:strCache>
            </c:strRef>
          </c:cat>
          <c:val>
            <c:numRef>
              <c:f>Dashboard!$B$9:$B$11</c:f>
              <c:numCache>
                <c:formatCode>General</c:formatCode>
                <c:ptCount val="3"/>
                <c:pt idx="0">
                  <c:v>62.95</c:v>
                </c:pt>
                <c:pt idx="1">
                  <c:v>44.95</c:v>
                </c:pt>
                <c:pt idx="2">
                  <c:v>51.2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7197836"/>
        <c:axId val="27445312"/>
      </c:barChart>
      <c:catAx>
        <c:axId val="1117197836"/>
        <c:scaling>
          <c:orientation val="maxMin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Subject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7445312"/>
        <c:crosses val="autoZero"/>
        <c:auto val="1"/>
        <c:lblAlgn val="ctr"/>
        <c:lblOffset val="100"/>
        <c:noMultiLvlLbl val="0"/>
      </c:catAx>
      <c:valAx>
        <c:axId val="2744531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17197836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604747b-580a-441b-9cbe-d6843630271e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Grade Distribution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Dashboard!$B$17</c:f>
              <c:strCache>
                <c:ptCount val="1"/>
                <c:pt idx="0">
                  <c:v>Count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rgbClr val="4285F4"/>
              </a:solidFill>
            </c:spPr>
          </c:dPt>
          <c:dPt>
            <c:idx val="1"/>
            <c:bubble3D val="0"/>
            <c:spPr>
              <a:solidFill>
                <a:srgbClr val="EA4335"/>
              </a:solidFill>
            </c:spPr>
          </c:dPt>
          <c:dPt>
            <c:idx val="2"/>
            <c:bubble3D val="0"/>
            <c:spPr>
              <a:solidFill>
                <a:srgbClr val="FBBC04"/>
              </a:solidFill>
            </c:spPr>
          </c:dPt>
          <c:dPt>
            <c:idx val="3"/>
            <c:bubble3D val="0"/>
            <c:spPr>
              <a:solidFill>
                <a:srgbClr val="34A853"/>
              </a:solidFill>
            </c:spPr>
          </c:dPt>
          <c:dLbls>
            <c:delete val="1"/>
          </c:dLbls>
          <c:cat>
            <c:strRef>
              <c:f>Dashboard!$A$18:$A$21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Dashboard!$B$18:$B$21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8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  <c:spPr>
        <a:noFill/>
        <a:ln>
          <a:noFill/>
        </a:ln>
        <a:effectLst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b946bb4-b347-4b52-97e5-91e1d76e967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Percentage vs Attendance %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Dashboard!$B$25</c:f>
              <c:strCache>
                <c:ptCount val="1"/>
                <c:pt idx="0">
                  <c:v>Percentage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Dashboard!$A$26:$A$45</c:f>
              <c:numCache>
                <c:formatCode>General</c:formatCode>
                <c:ptCount val="20"/>
                <c:pt idx="0">
                  <c:v>60</c:v>
                </c:pt>
                <c:pt idx="1">
                  <c:v>34</c:v>
                </c:pt>
                <c:pt idx="2">
                  <c:v>56</c:v>
                </c:pt>
                <c:pt idx="3">
                  <c:v>12</c:v>
                </c:pt>
                <c:pt idx="4">
                  <c:v>36</c:v>
                </c:pt>
                <c:pt idx="5">
                  <c:v>78</c:v>
                </c:pt>
                <c:pt idx="6">
                  <c:v>74</c:v>
                </c:pt>
                <c:pt idx="7">
                  <c:v>26</c:v>
                </c:pt>
                <c:pt idx="8">
                  <c:v>98</c:v>
                </c:pt>
                <c:pt idx="9">
                  <c:v>16</c:v>
                </c:pt>
                <c:pt idx="10">
                  <c:v>28</c:v>
                </c:pt>
                <c:pt idx="11">
                  <c:v>87</c:v>
                </c:pt>
                <c:pt idx="12">
                  <c:v>30</c:v>
                </c:pt>
                <c:pt idx="13">
                  <c:v>56</c:v>
                </c:pt>
                <c:pt idx="14">
                  <c:v>72</c:v>
                </c:pt>
                <c:pt idx="15">
                  <c:v>83</c:v>
                </c:pt>
                <c:pt idx="16">
                  <c:v>47</c:v>
                </c:pt>
                <c:pt idx="17">
                  <c:v>77</c:v>
                </c:pt>
                <c:pt idx="18">
                  <c:v>12</c:v>
                </c:pt>
                <c:pt idx="19">
                  <c:v>18</c:v>
                </c:pt>
              </c:numCache>
            </c:numRef>
          </c:xVal>
          <c:yVal>
            <c:numRef>
              <c:f>Dashboard!$B$26:$B$45</c:f>
              <c:numCache>
                <c:formatCode>0.00%</c:formatCode>
                <c:ptCount val="20"/>
                <c:pt idx="0">
                  <c:v>0.2</c:v>
                </c:pt>
                <c:pt idx="1">
                  <c:v>0.113333333333333</c:v>
                </c:pt>
                <c:pt idx="2">
                  <c:v>0.186666666666667</c:v>
                </c:pt>
                <c:pt idx="3">
                  <c:v>0.04</c:v>
                </c:pt>
                <c:pt idx="4">
                  <c:v>0.12</c:v>
                </c:pt>
                <c:pt idx="5">
                  <c:v>0.26</c:v>
                </c:pt>
                <c:pt idx="6">
                  <c:v>0.246666666666667</c:v>
                </c:pt>
                <c:pt idx="7">
                  <c:v>0.0866666666666667</c:v>
                </c:pt>
                <c:pt idx="8">
                  <c:v>0.326666666666667</c:v>
                </c:pt>
                <c:pt idx="9">
                  <c:v>0.0533333333333333</c:v>
                </c:pt>
                <c:pt idx="10">
                  <c:v>0.0933333333333333</c:v>
                </c:pt>
                <c:pt idx="11">
                  <c:v>0.29</c:v>
                </c:pt>
                <c:pt idx="12">
                  <c:v>0.1</c:v>
                </c:pt>
                <c:pt idx="13">
                  <c:v>0.186666666666667</c:v>
                </c:pt>
                <c:pt idx="14">
                  <c:v>0.24</c:v>
                </c:pt>
                <c:pt idx="15">
                  <c:v>0.276666666666667</c:v>
                </c:pt>
                <c:pt idx="16">
                  <c:v>0.156666666666667</c:v>
                </c:pt>
                <c:pt idx="17">
                  <c:v>0.256666666666667</c:v>
                </c:pt>
                <c:pt idx="18">
                  <c:v>0.04</c:v>
                </c:pt>
                <c:pt idx="19">
                  <c:v>0.06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798694"/>
        <c:axId val="172249721"/>
      </c:scatterChart>
      <c:valAx>
        <c:axId val="1319798694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Attendance %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2249721"/>
        <c:crosses val="autoZero"/>
        <c:crossBetween val="midCat"/>
      </c:valAx>
      <c:valAx>
        <c:axId val="17224972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0.00%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319798694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e70829a-c6a1-463a-978d-a9014e45d40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5 Performing Students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bar"/>
        <c:grouping val="none"/>
        <c:varyColors val="0"/>
        <c:ser>
          <c:idx val="0"/>
          <c:order val="0"/>
          <c:tx>
            <c:strRef>
              <c:f>Dashboard!$H$4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Dashboard!$G$5:$G$9</c:f>
              <c:strCache>
                <c:ptCount val="5"/>
                <c:pt idx="0">
                  <c:v>Ahana</c:v>
                </c:pt>
                <c:pt idx="1">
                  <c:v>Debargha</c:v>
                </c:pt>
                <c:pt idx="2">
                  <c:v>Sagnik</c:v>
                </c:pt>
                <c:pt idx="3">
                  <c:v>Manyata</c:v>
                </c:pt>
                <c:pt idx="4">
                  <c:v>Sourabh</c:v>
                </c:pt>
              </c:strCache>
            </c:strRef>
          </c:cat>
          <c:val>
            <c:numRef>
              <c:f>Dashboard!$H$5:$H$9</c:f>
              <c:numCache>
                <c:formatCode>0.00%</c:formatCode>
                <c:ptCount val="5"/>
                <c:pt idx="0">
                  <c:v>0.926666666666667</c:v>
                </c:pt>
                <c:pt idx="1">
                  <c:v>0.766666666666667</c:v>
                </c:pt>
                <c:pt idx="2">
                  <c:v>0.756666666666667</c:v>
                </c:pt>
                <c:pt idx="3">
                  <c:v>0.746666666666667</c:v>
                </c:pt>
                <c:pt idx="4">
                  <c:v>0.713333333333333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5583083"/>
        <c:axId val="1449060841"/>
      </c:barChart>
      <c:catAx>
        <c:axId val="415583083"/>
        <c:scaling>
          <c:orientation val="maxMin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Name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449060841"/>
        <c:crosses val="autoZero"/>
        <c:auto val="1"/>
        <c:lblAlgn val="ctr"/>
        <c:lblOffset val="100"/>
        <c:noMultiLvlLbl val="0"/>
      </c:catAx>
      <c:valAx>
        <c:axId val="1449060841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0.00%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415583083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760ccba-baa4-4258-b70c-d9cba3e56a0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685800</xdr:colOff>
      <xdr:row>5</xdr:row>
      <xdr:rowOff>28575</xdr:rowOff>
    </xdr:from>
    <xdr:ext cx="2343150" cy="2076450"/>
    <xdr:graphicFrame>
      <xdr:nvGraphicFramePr>
        <xdr:cNvPr id="2" name="Chart 1" title="Chart"/>
        <xdr:cNvGraphicFramePr/>
      </xdr:nvGraphicFramePr>
      <xdr:xfrm>
        <a:off x="3550285" y="1041400"/>
        <a:ext cx="2343150" cy="2076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914400</xdr:colOff>
      <xdr:row>15</xdr:row>
      <xdr:rowOff>95250</xdr:rowOff>
    </xdr:from>
    <xdr:ext cx="2381250" cy="1504950"/>
    <xdr:graphicFrame>
      <xdr:nvGraphicFramePr>
        <xdr:cNvPr id="3" name="Chart 2" title="Chart"/>
        <xdr:cNvGraphicFramePr/>
      </xdr:nvGraphicFramePr>
      <xdr:xfrm>
        <a:off x="3746500" y="3390900"/>
        <a:ext cx="2381250" cy="1504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638175</xdr:colOff>
      <xdr:row>25</xdr:row>
      <xdr:rowOff>47625</xdr:rowOff>
    </xdr:from>
    <xdr:ext cx="4333875" cy="3479800"/>
    <xdr:graphicFrame>
      <xdr:nvGraphicFramePr>
        <xdr:cNvPr id="4" name="Chart 3" title="Chart"/>
        <xdr:cNvGraphicFramePr/>
      </xdr:nvGraphicFramePr>
      <xdr:xfrm>
        <a:off x="3502660" y="5235575"/>
        <a:ext cx="4333875" cy="347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803275</xdr:colOff>
      <xdr:row>9</xdr:row>
      <xdr:rowOff>276225</xdr:rowOff>
    </xdr:from>
    <xdr:ext cx="3103880" cy="1930400"/>
    <xdr:graphicFrame>
      <xdr:nvGraphicFramePr>
        <xdr:cNvPr id="5" name="Chart 4" title="Chart"/>
        <xdr:cNvGraphicFramePr/>
      </xdr:nvGraphicFramePr>
      <xdr:xfrm>
        <a:off x="6732905" y="2254250"/>
        <a:ext cx="3103880" cy="193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id="1" name="Table2" displayName="Table2" ref="A8:B11">
  <tableColumns count="2">
    <tableColumn id="1" name="Subject" dataDxfId="0"/>
    <tableColumn id="2" name="Average" dataDxfId="1"/>
  </tableColumns>
  <tableStyleInfo name="Dashboar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1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72727272727" defaultRowHeight="15.75" customHeight="1"/>
  <cols>
    <col min="1" max="1" width="14.7545454545455" customWidth="1"/>
    <col min="3" max="3" width="20" customWidth="1"/>
    <col min="4" max="4" width="13.8818181818182" customWidth="1"/>
    <col min="5" max="5" width="15.2545454545455" customWidth="1"/>
    <col min="6" max="6" width="17.2545454545455" customWidth="1"/>
    <col min="7" max="7" width="18.5" customWidth="1"/>
    <col min="8" max="8" width="18.1272727272727" customWidth="1"/>
  </cols>
  <sheetData>
    <row r="1" customHeight="1" spans="1:9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</row>
    <row r="2" customHeight="1" spans="1:9">
      <c r="A2" s="19">
        <v>1</v>
      </c>
      <c r="B2" s="7" t="s">
        <v>9</v>
      </c>
      <c r="C2" s="19">
        <v>60</v>
      </c>
      <c r="D2" s="19">
        <v>99</v>
      </c>
      <c r="E2" s="19">
        <v>88</v>
      </c>
      <c r="F2" s="19">
        <v>91</v>
      </c>
      <c r="G2" s="19">
        <f t="shared" ref="G2:G21" si="0">SUM(D2:F2)</f>
        <v>278</v>
      </c>
      <c r="H2" s="8">
        <f t="shared" ref="H2:H21" si="1">(G2/300)</f>
        <v>0.926666666666667</v>
      </c>
      <c r="I2" s="21" t="str">
        <f t="shared" ref="I2:I21" si="2">_xlfn.IFS(H2&gt;=80%,"A",H2&gt;=60%,"B",H2&gt;=40%,"C",TRUE,"D")</f>
        <v>A</v>
      </c>
    </row>
    <row r="3" customHeight="1" spans="1:9">
      <c r="A3" s="19">
        <v>13</v>
      </c>
      <c r="B3" s="7" t="s">
        <v>10</v>
      </c>
      <c r="C3" s="19">
        <v>30</v>
      </c>
      <c r="D3" s="19">
        <v>81</v>
      </c>
      <c r="E3" s="19">
        <v>82</v>
      </c>
      <c r="F3" s="19">
        <v>67</v>
      </c>
      <c r="G3" s="19">
        <f t="shared" si="0"/>
        <v>230</v>
      </c>
      <c r="H3" s="8">
        <f t="shared" si="1"/>
        <v>0.766666666666667</v>
      </c>
      <c r="I3" s="21" t="str">
        <f t="shared" si="2"/>
        <v>B</v>
      </c>
    </row>
    <row r="4" customHeight="1" spans="1:9">
      <c r="A4" s="19">
        <v>3</v>
      </c>
      <c r="B4" s="7" t="s">
        <v>11</v>
      </c>
      <c r="C4" s="19">
        <v>56</v>
      </c>
      <c r="D4" s="19">
        <v>37</v>
      </c>
      <c r="E4" s="19">
        <v>94</v>
      </c>
      <c r="F4" s="19">
        <v>96</v>
      </c>
      <c r="G4" s="19">
        <f t="shared" si="0"/>
        <v>227</v>
      </c>
      <c r="H4" s="8">
        <f t="shared" si="1"/>
        <v>0.756666666666667</v>
      </c>
      <c r="I4" s="21" t="str">
        <f t="shared" si="2"/>
        <v>B</v>
      </c>
    </row>
    <row r="5" customHeight="1" spans="1:9">
      <c r="A5" s="19">
        <v>18</v>
      </c>
      <c r="B5" s="7" t="s">
        <v>12</v>
      </c>
      <c r="C5" s="19">
        <v>77</v>
      </c>
      <c r="D5" s="19">
        <v>84</v>
      </c>
      <c r="E5" s="19">
        <v>42</v>
      </c>
      <c r="F5" s="19">
        <v>98</v>
      </c>
      <c r="G5" s="19">
        <f t="shared" si="0"/>
        <v>224</v>
      </c>
      <c r="H5" s="8">
        <f t="shared" si="1"/>
        <v>0.746666666666667</v>
      </c>
      <c r="I5" s="21" t="str">
        <f t="shared" si="2"/>
        <v>B</v>
      </c>
    </row>
    <row r="6" customHeight="1" spans="1:9">
      <c r="A6" s="19">
        <v>11</v>
      </c>
      <c r="B6" s="7" t="s">
        <v>13</v>
      </c>
      <c r="C6" s="19">
        <v>28</v>
      </c>
      <c r="D6" s="19">
        <v>98</v>
      </c>
      <c r="E6" s="19">
        <v>71</v>
      </c>
      <c r="F6" s="19">
        <v>45</v>
      </c>
      <c r="G6" s="19">
        <f t="shared" si="0"/>
        <v>214</v>
      </c>
      <c r="H6" s="8">
        <f t="shared" si="1"/>
        <v>0.713333333333333</v>
      </c>
      <c r="I6" s="21" t="str">
        <f t="shared" si="2"/>
        <v>B</v>
      </c>
    </row>
    <row r="7" customHeight="1" spans="1:9">
      <c r="A7" s="19">
        <v>2</v>
      </c>
      <c r="B7" s="7" t="s">
        <v>14</v>
      </c>
      <c r="C7" s="19">
        <v>34</v>
      </c>
      <c r="D7" s="19">
        <v>98</v>
      </c>
      <c r="E7" s="19">
        <v>14</v>
      </c>
      <c r="F7" s="19">
        <v>91</v>
      </c>
      <c r="G7" s="19">
        <f t="shared" si="0"/>
        <v>203</v>
      </c>
      <c r="H7" s="8">
        <f t="shared" si="1"/>
        <v>0.676666666666667</v>
      </c>
      <c r="I7" s="21" t="str">
        <f t="shared" si="2"/>
        <v>B</v>
      </c>
    </row>
    <row r="8" customHeight="1" spans="1:9">
      <c r="A8" s="19">
        <v>15</v>
      </c>
      <c r="B8" s="7" t="s">
        <v>15</v>
      </c>
      <c r="C8" s="19">
        <v>72</v>
      </c>
      <c r="D8" s="19">
        <v>67</v>
      </c>
      <c r="E8" s="19">
        <v>29</v>
      </c>
      <c r="F8" s="19">
        <v>99</v>
      </c>
      <c r="G8" s="19">
        <f t="shared" si="0"/>
        <v>195</v>
      </c>
      <c r="H8" s="8">
        <f t="shared" si="1"/>
        <v>0.65</v>
      </c>
      <c r="I8" s="21" t="str">
        <f t="shared" si="2"/>
        <v>B</v>
      </c>
    </row>
    <row r="9" customHeight="1" spans="1:9">
      <c r="A9" s="19">
        <v>7</v>
      </c>
      <c r="B9" s="7" t="s">
        <v>16</v>
      </c>
      <c r="C9" s="19">
        <v>74</v>
      </c>
      <c r="D9" s="19">
        <v>46</v>
      </c>
      <c r="E9" s="19">
        <v>73</v>
      </c>
      <c r="F9" s="19">
        <v>35</v>
      </c>
      <c r="G9" s="19">
        <f t="shared" si="0"/>
        <v>154</v>
      </c>
      <c r="H9" s="8">
        <f t="shared" si="1"/>
        <v>0.513333333333333</v>
      </c>
      <c r="I9" s="21" t="str">
        <f t="shared" si="2"/>
        <v>C</v>
      </c>
    </row>
    <row r="10" customHeight="1" spans="1:9">
      <c r="A10" s="19">
        <v>17</v>
      </c>
      <c r="B10" s="7" t="s">
        <v>17</v>
      </c>
      <c r="C10" s="19">
        <v>47</v>
      </c>
      <c r="D10" s="19">
        <v>56</v>
      </c>
      <c r="E10" s="19">
        <v>67</v>
      </c>
      <c r="F10" s="19">
        <v>31</v>
      </c>
      <c r="G10" s="19">
        <f t="shared" si="0"/>
        <v>154</v>
      </c>
      <c r="H10" s="8">
        <f t="shared" si="1"/>
        <v>0.513333333333333</v>
      </c>
      <c r="I10" s="21" t="str">
        <f t="shared" si="2"/>
        <v>C</v>
      </c>
    </row>
    <row r="11" customHeight="1" spans="1:9">
      <c r="A11" s="19">
        <v>4</v>
      </c>
      <c r="B11" s="7" t="s">
        <v>18</v>
      </c>
      <c r="C11" s="19">
        <v>12</v>
      </c>
      <c r="D11" s="19">
        <v>73</v>
      </c>
      <c r="E11" s="19">
        <v>64</v>
      </c>
      <c r="F11" s="19">
        <v>11</v>
      </c>
      <c r="G11" s="19">
        <f t="shared" si="0"/>
        <v>148</v>
      </c>
      <c r="H11" s="8">
        <f t="shared" si="1"/>
        <v>0.493333333333333</v>
      </c>
      <c r="I11" s="21" t="str">
        <f t="shared" si="2"/>
        <v>C</v>
      </c>
    </row>
    <row r="12" customHeight="1" spans="1:9">
      <c r="A12" s="19">
        <v>16</v>
      </c>
      <c r="B12" s="7" t="s">
        <v>19</v>
      </c>
      <c r="C12" s="19">
        <v>83</v>
      </c>
      <c r="D12" s="19">
        <v>81</v>
      </c>
      <c r="E12" s="19">
        <v>9</v>
      </c>
      <c r="F12" s="19">
        <v>55</v>
      </c>
      <c r="G12" s="19">
        <f t="shared" si="0"/>
        <v>145</v>
      </c>
      <c r="H12" s="8">
        <f t="shared" si="1"/>
        <v>0.483333333333333</v>
      </c>
      <c r="I12" s="21" t="str">
        <f t="shared" si="2"/>
        <v>C</v>
      </c>
    </row>
    <row r="13" customHeight="1" spans="1:9">
      <c r="A13" s="19">
        <v>14</v>
      </c>
      <c r="B13" s="7" t="s">
        <v>20</v>
      </c>
      <c r="C13" s="19">
        <v>56</v>
      </c>
      <c r="D13" s="19">
        <v>87</v>
      </c>
      <c r="E13" s="19">
        <v>26</v>
      </c>
      <c r="F13" s="19">
        <v>22</v>
      </c>
      <c r="G13" s="19">
        <f t="shared" si="0"/>
        <v>135</v>
      </c>
      <c r="H13" s="8">
        <f t="shared" si="1"/>
        <v>0.45</v>
      </c>
      <c r="I13" s="21" t="str">
        <f t="shared" si="2"/>
        <v>C</v>
      </c>
    </row>
    <row r="14" customHeight="1" spans="1:9">
      <c r="A14" s="19">
        <v>12</v>
      </c>
      <c r="B14" s="7" t="s">
        <v>21</v>
      </c>
      <c r="C14" s="19">
        <v>87</v>
      </c>
      <c r="D14" s="19">
        <v>89</v>
      </c>
      <c r="E14" s="19">
        <v>13</v>
      </c>
      <c r="F14" s="19">
        <v>30</v>
      </c>
      <c r="G14" s="19">
        <f t="shared" si="0"/>
        <v>132</v>
      </c>
      <c r="H14" s="8">
        <f t="shared" si="1"/>
        <v>0.44</v>
      </c>
      <c r="I14" s="21" t="str">
        <f t="shared" si="2"/>
        <v>C</v>
      </c>
    </row>
    <row r="15" customHeight="1" spans="1:9">
      <c r="A15" s="19">
        <v>8</v>
      </c>
      <c r="B15" s="7" t="s">
        <v>22</v>
      </c>
      <c r="C15" s="19">
        <v>26</v>
      </c>
      <c r="D15" s="19">
        <v>26</v>
      </c>
      <c r="E15" s="19">
        <v>59</v>
      </c>
      <c r="F15" s="19">
        <v>44</v>
      </c>
      <c r="G15" s="19">
        <f t="shared" si="0"/>
        <v>129</v>
      </c>
      <c r="H15" s="8">
        <f t="shared" si="1"/>
        <v>0.43</v>
      </c>
      <c r="I15" s="21" t="str">
        <f t="shared" si="2"/>
        <v>C</v>
      </c>
    </row>
    <row r="16" customHeight="1" spans="1:9">
      <c r="A16" s="19">
        <v>9</v>
      </c>
      <c r="B16" s="7" t="s">
        <v>23</v>
      </c>
      <c r="C16" s="19">
        <v>98</v>
      </c>
      <c r="D16" s="19">
        <v>18</v>
      </c>
      <c r="E16" s="19">
        <v>29</v>
      </c>
      <c r="F16" s="19">
        <v>78</v>
      </c>
      <c r="G16" s="19">
        <f t="shared" si="0"/>
        <v>125</v>
      </c>
      <c r="H16" s="8">
        <f t="shared" si="1"/>
        <v>0.416666666666667</v>
      </c>
      <c r="I16" s="21" t="str">
        <f t="shared" si="2"/>
        <v>C</v>
      </c>
    </row>
    <row r="17" customHeight="1" spans="1:9">
      <c r="A17" s="19">
        <v>19</v>
      </c>
      <c r="B17" s="7" t="s">
        <v>24</v>
      </c>
      <c r="C17" s="19">
        <v>12</v>
      </c>
      <c r="D17" s="19">
        <v>75</v>
      </c>
      <c r="E17" s="19">
        <v>37</v>
      </c>
      <c r="F17" s="19">
        <v>2</v>
      </c>
      <c r="G17" s="19">
        <f t="shared" si="0"/>
        <v>114</v>
      </c>
      <c r="H17" s="8">
        <f t="shared" si="1"/>
        <v>0.38</v>
      </c>
      <c r="I17" s="21" t="str">
        <f t="shared" si="2"/>
        <v>D</v>
      </c>
    </row>
    <row r="18" customHeight="1" spans="1:9">
      <c r="A18" s="19">
        <v>20</v>
      </c>
      <c r="B18" s="7" t="s">
        <v>25</v>
      </c>
      <c r="C18" s="19">
        <v>18</v>
      </c>
      <c r="D18" s="19">
        <v>31</v>
      </c>
      <c r="E18" s="19">
        <v>44</v>
      </c>
      <c r="F18" s="19">
        <v>36</v>
      </c>
      <c r="G18" s="19">
        <f t="shared" si="0"/>
        <v>111</v>
      </c>
      <c r="H18" s="8">
        <f t="shared" si="1"/>
        <v>0.37</v>
      </c>
      <c r="I18" s="21" t="str">
        <f t="shared" si="2"/>
        <v>D</v>
      </c>
    </row>
    <row r="19" customHeight="1" spans="1:9">
      <c r="A19" s="19">
        <v>5</v>
      </c>
      <c r="B19" s="7" t="s">
        <v>26</v>
      </c>
      <c r="C19" s="19">
        <v>36</v>
      </c>
      <c r="D19" s="19">
        <v>37</v>
      </c>
      <c r="E19" s="19">
        <v>42</v>
      </c>
      <c r="F19" s="19">
        <v>29</v>
      </c>
      <c r="G19" s="19">
        <f t="shared" si="0"/>
        <v>108</v>
      </c>
      <c r="H19" s="8">
        <f t="shared" si="1"/>
        <v>0.36</v>
      </c>
      <c r="I19" s="21" t="str">
        <f t="shared" si="2"/>
        <v>D</v>
      </c>
    </row>
    <row r="20" customHeight="1" spans="1:9">
      <c r="A20" s="19">
        <v>10</v>
      </c>
      <c r="B20" s="7" t="s">
        <v>27</v>
      </c>
      <c r="C20" s="19">
        <v>16</v>
      </c>
      <c r="D20" s="19">
        <v>49</v>
      </c>
      <c r="E20" s="19">
        <v>9</v>
      </c>
      <c r="F20" s="19">
        <v>40</v>
      </c>
      <c r="G20" s="19">
        <f t="shared" si="0"/>
        <v>98</v>
      </c>
      <c r="H20" s="8">
        <f t="shared" si="1"/>
        <v>0.326666666666667</v>
      </c>
      <c r="I20" s="21" t="str">
        <f t="shared" si="2"/>
        <v>D</v>
      </c>
    </row>
    <row r="21" customHeight="1" spans="1:9">
      <c r="A21" s="19">
        <v>6</v>
      </c>
      <c r="B21" s="7" t="s">
        <v>28</v>
      </c>
      <c r="C21" s="19">
        <v>78</v>
      </c>
      <c r="D21" s="19">
        <v>27</v>
      </c>
      <c r="E21" s="19">
        <v>7</v>
      </c>
      <c r="F21" s="19">
        <v>24</v>
      </c>
      <c r="G21" s="19">
        <f t="shared" si="0"/>
        <v>58</v>
      </c>
      <c r="H21" s="8">
        <f t="shared" si="1"/>
        <v>0.193333333333333</v>
      </c>
      <c r="I21" s="21" t="str">
        <f t="shared" si="2"/>
        <v>D</v>
      </c>
    </row>
  </sheetData>
  <conditionalFormatting sqref="A1:I21">
    <cfRule type="colorScale" priority="1">
      <colorScale>
        <cfvo type="min"/>
        <cfvo type="max"/>
        <color rgb="FFFFFFFF"/>
        <color rgb="FF57BB8A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45"/>
  <sheetViews>
    <sheetView tabSelected="1" workbookViewId="0">
      <selection activeCell="I23" sqref="I23"/>
    </sheetView>
  </sheetViews>
  <sheetFormatPr defaultColWidth="12.6272727272727" defaultRowHeight="15.75" customHeight="1"/>
  <cols>
    <col min="1" max="1" width="18.3818181818182" customWidth="1"/>
    <col min="2" max="2" width="22.6272727272727" customWidth="1"/>
    <col min="4" max="4" width="18.6272727272727" customWidth="1"/>
    <col min="7" max="7" width="22.3636363636364" customWidth="1"/>
    <col min="10" max="10" width="16.3818181818182" customWidth="1"/>
  </cols>
  <sheetData>
    <row r="1" ht="20" spans="1:10">
      <c r="A1" s="1"/>
      <c r="B1" s="1"/>
      <c r="C1" s="2" t="s">
        <v>29</v>
      </c>
    </row>
    <row r="2" ht="14" spans="1:10">
      <c r="A2" s="1"/>
      <c r="B2" s="1"/>
      <c r="C2" s="1"/>
      <c r="D2" s="1"/>
      <c r="E2" s="3"/>
      <c r="F2" s="3"/>
      <c r="G2" s="3"/>
    </row>
    <row r="3" ht="14.75" spans="1:10">
      <c r="A3" s="4" t="s">
        <v>30</v>
      </c>
      <c r="B3" s="4" t="s">
        <v>31</v>
      </c>
      <c r="C3" s="4" t="s">
        <v>32</v>
      </c>
      <c r="D3" s="4" t="s">
        <v>33</v>
      </c>
    </row>
    <row r="4" ht="15.5" spans="1:10">
      <c r="A4" s="4">
        <f>COUNTA(Student_Data!A2:A21)</f>
        <v>20</v>
      </c>
      <c r="B4" s="5">
        <f>AVERAGE(Student_Data!H2:H21)</f>
        <v>0.530333333333333</v>
      </c>
      <c r="C4" s="5">
        <f>MAX(Student_Data!H2:H21)</f>
        <v>0.926666666666667</v>
      </c>
      <c r="D4" s="4">
        <f>AVERAGE(Student_Data!C2:C21)</f>
        <v>50</v>
      </c>
      <c r="G4" s="6" t="s">
        <v>1</v>
      </c>
      <c r="H4" s="6" t="s">
        <v>7</v>
      </c>
    </row>
    <row r="5" ht="15.5" spans="1:10">
      <c r="G5" s="7" t="s">
        <v>9</v>
      </c>
      <c r="H5" s="8">
        <v>0.926666666666667</v>
      </c>
    </row>
    <row r="6" ht="15.5" spans="1:10">
      <c r="G6" s="7" t="s">
        <v>10</v>
      </c>
      <c r="H6" s="8">
        <v>0.766666666666667</v>
      </c>
    </row>
    <row r="7" ht="15.5" spans="1:10">
      <c r="G7" s="7" t="s">
        <v>11</v>
      </c>
      <c r="H7" s="8">
        <v>0.756666666666667</v>
      </c>
    </row>
    <row r="8" ht="22.5" customHeight="1" spans="1:10">
      <c r="A8" s="9" t="s">
        <v>34</v>
      </c>
      <c r="B8" s="9" t="s">
        <v>35</v>
      </c>
      <c r="G8" s="7" t="s">
        <v>12</v>
      </c>
      <c r="H8" s="8">
        <v>0.746666666666667</v>
      </c>
      <c r="J8" s="10" t="s">
        <v>36</v>
      </c>
    </row>
    <row r="9" ht="22.5" customHeight="1" spans="1:10">
      <c r="A9" s="11" t="s">
        <v>3</v>
      </c>
      <c r="B9" s="11">
        <f>AVERAGE(Student_Data!D2:D21)</f>
        <v>62.95</v>
      </c>
      <c r="G9" s="7" t="s">
        <v>13</v>
      </c>
      <c r="H9" s="8">
        <v>0.713333333333333</v>
      </c>
      <c r="J9" s="12" t="str">
        <f t="array" ref="J9">INDEX(Student_Data!B2:B21,MATCH(MAX(Student_Data!H2:H21),Student_Data!H2:H21,0))</f>
        <v>Ahana</v>
      </c>
    </row>
    <row r="10" ht="22.5" customHeight="1" spans="1:10">
      <c r="A10" s="11" t="s">
        <v>4</v>
      </c>
      <c r="B10" s="11">
        <f>AVERAGE(Student_Data!E2:E21)</f>
        <v>44.95</v>
      </c>
    </row>
    <row r="11" ht="22.5" customHeight="1" spans="1:10">
      <c r="A11" s="11" t="s">
        <v>5</v>
      </c>
      <c r="B11" s="11">
        <f>AVERAGE(Student_Data!F2:F21)</f>
        <v>51.2</v>
      </c>
      <c r="J11" s="13" t="s">
        <v>37</v>
      </c>
    </row>
    <row r="12" ht="14" spans="1:10">
      <c r="J12" s="13" t="s">
        <v>38</v>
      </c>
    </row>
    <row r="14" ht="14.5" spans="1:10">
      <c r="J14" s="14" t="s">
        <v>39</v>
      </c>
    </row>
    <row r="15" ht="14.5" spans="1:10">
      <c r="J15" s="15">
        <f>COUNTIF(Student_Data!I2:I21,"&lt;&gt;D")/COUNTA(Student_Data!I2:I21)</f>
        <v>0.75</v>
      </c>
    </row>
    <row r="17" ht="14.5" spans="1:2">
      <c r="A17" s="6" t="s">
        <v>8</v>
      </c>
      <c r="B17" s="6" t="s">
        <v>40</v>
      </c>
    </row>
    <row r="18" ht="14" spans="1:2">
      <c r="A18" s="16" t="s">
        <v>41</v>
      </c>
      <c r="B18" s="16">
        <f>COUNTIF(Student_Data!I2:I21,"A")</f>
        <v>1</v>
      </c>
    </row>
    <row r="19" ht="14" spans="1:2">
      <c r="A19" s="16" t="s">
        <v>42</v>
      </c>
      <c r="B19" s="17">
        <f>COUNTIF(Student_Data!I2:I21,"B")</f>
        <v>6</v>
      </c>
    </row>
    <row r="20" ht="14" spans="1:2">
      <c r="A20" s="16" t="s">
        <v>43</v>
      </c>
      <c r="B20" s="17">
        <f>COUNTIF(Student_Data!I2:I21,"C")</f>
        <v>8</v>
      </c>
    </row>
    <row r="21" ht="14" spans="1:2">
      <c r="A21" s="16" t="s">
        <v>44</v>
      </c>
      <c r="B21" s="17">
        <f>COUNTIF(Student_Data!I2:I21,"D")</f>
        <v>5</v>
      </c>
    </row>
    <row r="25" ht="15.5" spans="1:2">
      <c r="A25" s="18" t="s">
        <v>2</v>
      </c>
      <c r="B25" s="18" t="s">
        <v>7</v>
      </c>
    </row>
    <row r="26" ht="15.5" spans="1:2">
      <c r="A26" s="19">
        <v>60</v>
      </c>
      <c r="B26" s="8">
        <f t="shared" ref="B26:B45" si="0">(A26/300)</f>
        <v>0.2</v>
      </c>
    </row>
    <row r="27" ht="15.5" spans="1:2">
      <c r="A27" s="19">
        <v>34</v>
      </c>
      <c r="B27" s="8">
        <f t="shared" si="0"/>
        <v>0.113333333333333</v>
      </c>
    </row>
    <row r="28" ht="15.5" spans="1:2">
      <c r="A28" s="19">
        <v>56</v>
      </c>
      <c r="B28" s="8">
        <f t="shared" si="0"/>
        <v>0.186666666666667</v>
      </c>
    </row>
    <row r="29" ht="15.5" spans="1:2">
      <c r="A29" s="19">
        <v>12</v>
      </c>
      <c r="B29" s="8">
        <f t="shared" si="0"/>
        <v>0.04</v>
      </c>
    </row>
    <row r="30" ht="15.5" spans="1:2">
      <c r="A30" s="19">
        <v>36</v>
      </c>
      <c r="B30" s="8">
        <f t="shared" si="0"/>
        <v>0.12</v>
      </c>
    </row>
    <row r="31" ht="15.5" spans="1:2">
      <c r="A31" s="19">
        <v>78</v>
      </c>
      <c r="B31" s="8">
        <f t="shared" si="0"/>
        <v>0.26</v>
      </c>
    </row>
    <row r="32" ht="15.5" spans="1:2">
      <c r="A32" s="19">
        <v>74</v>
      </c>
      <c r="B32" s="8">
        <f t="shared" si="0"/>
        <v>0.246666666666667</v>
      </c>
    </row>
    <row r="33" ht="15.5" spans="1:2">
      <c r="A33" s="19">
        <v>26</v>
      </c>
      <c r="B33" s="8">
        <f t="shared" si="0"/>
        <v>0.0866666666666667</v>
      </c>
    </row>
    <row r="34" ht="15.5" spans="1:2">
      <c r="A34" s="19">
        <v>98</v>
      </c>
      <c r="B34" s="8">
        <f t="shared" si="0"/>
        <v>0.326666666666667</v>
      </c>
    </row>
    <row r="35" ht="15.5" spans="1:2">
      <c r="A35" s="19">
        <v>16</v>
      </c>
      <c r="B35" s="8">
        <f t="shared" si="0"/>
        <v>0.0533333333333333</v>
      </c>
    </row>
    <row r="36" ht="15.5" spans="1:2">
      <c r="A36" s="19">
        <v>28</v>
      </c>
      <c r="B36" s="8">
        <f t="shared" si="0"/>
        <v>0.0933333333333333</v>
      </c>
    </row>
    <row r="37" ht="15.5" spans="1:2">
      <c r="A37" s="19">
        <v>87</v>
      </c>
      <c r="B37" s="8">
        <f t="shared" si="0"/>
        <v>0.29</v>
      </c>
    </row>
    <row r="38" ht="15.5" spans="1:2">
      <c r="A38" s="19">
        <v>30</v>
      </c>
      <c r="B38" s="8">
        <f t="shared" si="0"/>
        <v>0.1</v>
      </c>
    </row>
    <row r="39" ht="15.5" spans="1:2">
      <c r="A39" s="19">
        <v>56</v>
      </c>
      <c r="B39" s="8">
        <f t="shared" si="0"/>
        <v>0.186666666666667</v>
      </c>
    </row>
    <row r="40" ht="15.5" spans="1:2">
      <c r="A40" s="19">
        <v>72</v>
      </c>
      <c r="B40" s="8">
        <f t="shared" si="0"/>
        <v>0.24</v>
      </c>
    </row>
    <row r="41" ht="15.5" spans="1:2">
      <c r="A41" s="19">
        <v>83</v>
      </c>
      <c r="B41" s="8">
        <f t="shared" si="0"/>
        <v>0.276666666666667</v>
      </c>
    </row>
    <row r="42" ht="15.5" spans="1:2">
      <c r="A42" s="19">
        <v>47</v>
      </c>
      <c r="B42" s="8">
        <f t="shared" si="0"/>
        <v>0.156666666666667</v>
      </c>
    </row>
    <row r="43" ht="15.5" spans="1:2">
      <c r="A43" s="19">
        <v>77</v>
      </c>
      <c r="B43" s="8">
        <f t="shared" si="0"/>
        <v>0.256666666666667</v>
      </c>
    </row>
    <row r="44" ht="15.5" spans="1:2">
      <c r="A44" s="19">
        <v>12</v>
      </c>
      <c r="B44" s="8">
        <f t="shared" si="0"/>
        <v>0.04</v>
      </c>
    </row>
    <row r="45" ht="15.5" spans="1:2">
      <c r="A45" s="19">
        <v>18</v>
      </c>
      <c r="B45" s="8">
        <f t="shared" si="0"/>
        <v>0.06</v>
      </c>
    </row>
  </sheetData>
  <mergeCells count="1">
    <mergeCell ref="C1:G1"/>
  </mergeCells>
  <conditionalFormatting sqref="G5:H9 A25:B45">
    <cfRule type="colorScale" priority="1">
      <colorScale>
        <cfvo type="min"/>
        <cfvo type="max"/>
        <color rgb="FFFFFFFF"/>
        <color rgb="FF57BB8A"/>
      </colorScale>
    </cfRule>
  </conditionalFormatting>
  <dataValidations count="1">
    <dataValidation type="custom" allowBlank="1" sqref="B9:B11">
      <formula1>AND(ISNUMBER(B9),(NOT(OR(NOT(ISERROR(DATEVALUE(B9))),AND(ISNUMBER(B9),LEFT(CELL("format",B9))="D")))))</formula1>
    </dataValidation>
  </dataValidations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Student_Data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</cp:lastModifiedBy>
  <dcterms:created xsi:type="dcterms:W3CDTF">2026-06-11T05:27:00Z</dcterms:created>
  <dcterms:modified xsi:type="dcterms:W3CDTF">2026-06-11T05:33:09Z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305927A62320473DB31209736CE6D284_12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